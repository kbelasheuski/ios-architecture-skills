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ison Matrix" sheetId="1" state="visible" r:id="rId3"/>
    <sheet name="Patterns at a Glance" sheetId="2" state="visible" r:id="rId4"/>
    <sheet name="Decision Gui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<sst xmlns="http://schemas.openxmlformats.org/spreadsheetml/2006/main" count="172" uniqueCount="122">
  <si>
    <t xml:space="preserve">iOS Architecture Comparison — 1 (poor / high cost) to 5 (excellent / low cost)</t>
  </si>
  <si>
    <t xml:space="preserve">Category</t>
  </si>
  <si>
    <t xml:space="preserve">MVC</t>
  </si>
  <si>
    <t xml:space="preserve">MVP</t>
  </si>
  <si>
    <t xml:space="preserve">MVVM-UIKit</t>
  </si>
  <si>
    <t xml:space="preserve">MVVM-SwiftUI</t>
  </si>
  <si>
    <t xml:space="preserve">MVVM-C</t>
  </si>
  <si>
    <t xml:space="preserve">VIPER</t>
  </si>
  <si>
    <t xml:space="preserve">Clean Swift</t>
  </si>
  <si>
    <t xml:space="preserve">Clean Arch</t>
  </si>
  <si>
    <t xml:space="preserve">TCA</t>
  </si>
  <si>
    <t xml:space="preserve">Redux</t>
  </si>
  <si>
    <t xml:space="preserve">RIBs</t>
  </si>
  <si>
    <t xml:space="preserve">Modular/TMA</t>
  </si>
  <si>
    <t xml:space="preserve">Optimal team size</t>
  </si>
  <si>
    <t xml:space="preserve">1-2</t>
  </si>
  <si>
    <t xml:space="preserve">1-5</t>
  </si>
  <si>
    <t xml:space="preserve">2-8</t>
  </si>
  <si>
    <t xml:space="preserve">1-8</t>
  </si>
  <si>
    <t xml:space="preserve">2-10</t>
  </si>
  <si>
    <t xml:space="preserve">5-30+</t>
  </si>
  <si>
    <t xml:space="preserve">3-15</t>
  </si>
  <si>
    <t xml:space="preserve">2-20+</t>
  </si>
  <si>
    <t xml:space="preserve">2-12</t>
  </si>
  <si>
    <t xml:space="preserve">2-15</t>
  </si>
  <si>
    <t xml:space="preserve">30+</t>
  </si>
  <si>
    <t xml:space="preserve">5-50+</t>
  </si>
  <si>
    <t xml:space="preserve">Unit testability</t>
  </si>
  <si>
    <t xml:space="preserve">Runtime stability</t>
  </si>
  <si>
    <t xml:space="preserve">Dev speed (greenfield)</t>
  </si>
  <si>
    <t xml:space="preserve">Scalability (large)</t>
  </si>
  <si>
    <t xml:space="preserve">Low boilerplate</t>
  </si>
  <si>
    <t xml:space="preserve">Easy learning curve</t>
  </si>
  <si>
    <t xml:space="preserve">AI / LLM-agent friendly</t>
  </si>
  <si>
    <t xml:space="preserve">SwiftUI fit</t>
  </si>
  <si>
    <t xml:space="preserve">UIKit fit</t>
  </si>
  <si>
    <t xml:space="preserve">Navigation handling</t>
  </si>
  <si>
    <t xml:space="preserve">Team-scale parallelism</t>
  </si>
  <si>
    <t xml:space="preserve">Ecosystem / longevity</t>
  </si>
  <si>
    <t xml:space="preserve">Average score</t>
  </si>
  <si>
    <t xml:space="preserve">Legend:</t>
  </si>
  <si>
    <t xml:space="preserve">5 Excellent</t>
  </si>
  <si>
    <t xml:space="preserve">4 Good</t>
  </si>
  <si>
    <t xml:space="preserve">3 Average</t>
  </si>
  <si>
    <t xml:space="preserve">2 Weak</t>
  </si>
  <si>
    <t xml:space="preserve">1 Poor</t>
  </si>
  <si>
    <t xml:space="preserve">Categories (glossary):</t>
  </si>
  <si>
    <t xml:space="preserve">Unit testability — how easily logic can be covered by tests</t>
  </si>
  <si>
    <t xml:space="preserve">Runtime stability — fewer bugs in production</t>
  </si>
  <si>
    <t xml:space="preserve">Dev speed (greenfield) — how fast to start from scratch</t>
  </si>
  <si>
    <t xml:space="preserve">Scalability (large) — how well it holds a large codebase</t>
  </si>
  <si>
    <t xml:space="preserve">Low boilerplate — less routine wiring</t>
  </si>
  <si>
    <t xml:space="preserve">Easy learning curve — low barrier to entry</t>
  </si>
  <si>
    <t xml:space="preserve">AI / LLM-agent friendly — how easily an LLM can edit the code</t>
  </si>
  <si>
    <t xml:space="preserve">SwiftUI fit</t>
  </si>
  <si>
    <t xml:space="preserve">UIKit fit</t>
  </si>
  <si>
    <t xml:space="preserve">Navigation handling — routing, deep-linking</t>
  </si>
  <si>
    <t xml:space="preserve">Team-scale parallelism — many developers at once</t>
  </si>
  <si>
    <t xml:space="preserve">Ecosystem / longevity — dependency / obsolescence risk</t>
  </si>
  <si>
    <t xml:space="preserve">Where to read about each architecture:</t>
  </si>
  <si>
    <t xml:space="preserve">Redux/ReSwift</t>
  </si>
  <si>
    <t xml:space="preserve">Pattern</t>
  </si>
  <si>
    <t xml:space="preserve">Identity</t>
  </si>
  <si>
    <t xml:space="preserve">Primary UI fit</t>
  </si>
  <si>
    <t xml:space="preserve">Sweet spot</t>
  </si>
  <si>
    <t xml:space="preserve">View controller owns everything</t>
  </si>
  <si>
    <t xml:space="preserve">UIKit</t>
  </si>
  <si>
    <t xml:space="preserve">Prototypes, ≤20 screens</t>
  </si>
  <si>
    <t xml:space="preserve">Passive view + Presenter holds logic</t>
  </si>
  <si>
    <t xml:space="preserve">UIKit apps wanting testable presentation</t>
  </si>
  <si>
    <t xml:space="preserve">ViewModel + bindings (Combine/closures)</t>
  </si>
  <si>
    <t xml:space="preserve">Mainstream UIKit production</t>
  </si>
  <si>
    <t xml:space="preserve">@Observable model + declarative view</t>
  </si>
  <si>
    <t xml:space="preserve">SwiftUI</t>
  </si>
  <si>
    <t xml:space="preserve">Mainstream SwiftUI production</t>
  </si>
  <si>
    <t xml:space="preserve">MVVM + Coordinator/Router owns nav</t>
  </si>
  <si>
    <t xml:space="preserve">UIKit &amp; SwiftUI</t>
  </si>
  <si>
    <t xml:space="preserve">Medium/large apps, deep-linking</t>
  </si>
  <si>
    <t xml:space="preserve">View-Interactor-Presenter-Entity-Router</t>
  </si>
  <si>
    <t xml:space="preserve">Large long-lived UIKit, big teams</t>
  </si>
  <si>
    <t xml:space="preserve">VIP cycle: View→Interactor→Presenter→View</t>
  </si>
  <si>
    <t xml:space="preserve">VIPER rigor, less routing ceremony</t>
  </si>
  <si>
    <t xml:space="preserve">Layered Domain/Data/Presentation + Use Cases</t>
  </si>
  <si>
    <t xml:space="preserve">Domain-heavy, long lifespan</t>
  </si>
  <si>
    <t xml:space="preserve">State/Action/Reducer/Store, unidirectional</t>
  </si>
  <si>
    <t xml:space="preserve">Correctness-critical SwiftUI</t>
  </si>
  <si>
    <t xml:space="preserve">Single global store, pure reducers, middleware</t>
  </si>
  <si>
    <t xml:space="preserve">Cross-platform shared logic</t>
  </si>
  <si>
    <t xml:space="preserve">Router-Interactor-Builder tree, Rx-driven</t>
  </si>
  <si>
    <t xml:space="preserve">Uber-scale (30+ eng), nested state</t>
  </si>
  <si>
    <t xml:space="preserve">Build-graph layer; each feature a module</t>
  </si>
  <si>
    <t xml:space="preserve">≥5 devs or ≥30 screens</t>
  </si>
  <si>
    <t xml:space="preserve">If you are…</t>
  </si>
  <si>
    <t xml:space="preserve">Use</t>
  </si>
  <si>
    <t xml:space="preserve">Avoid</t>
  </si>
  <si>
    <t xml:space="preserve">Prototyping / hackathon / ≤20 screens</t>
  </si>
  <si>
    <t xml:space="preserve">MVC, MVVM-SwiftUI</t>
  </si>
  <si>
    <t xml:space="preserve">VIPER, TCA, RIBs</t>
  </si>
  <si>
    <t xml:space="preserve">Solo dev, new SwiftUI app</t>
  </si>
  <si>
    <t xml:space="preserve">MVVM-SwiftUI (or plain MV)</t>
  </si>
  <si>
    <t xml:space="preserve">VIPER, RIBs</t>
  </si>
  <si>
    <t xml:space="preserve">Small team, new SwiftUI, correctness matters</t>
  </si>
  <si>
    <t xml:space="preserve">TCA (if 1+ shipped it), else MVVM-SwiftUI + Coordinator</t>
  </si>
  <si>
    <t xml:space="preserve">Mainstream UIKit production app</t>
  </si>
  <si>
    <t xml:space="preserve">MVVM-UIKit or MVVM-C</t>
  </si>
  <si>
    <t xml:space="preserve">RIBs, Redux</t>
  </si>
  <si>
    <t xml:space="preserve">Deep-linking / complex flows</t>
  </si>
  <si>
    <t xml:space="preserve">MVC, MVP</t>
  </si>
  <si>
    <t xml:space="preserve">Large UIKit app, big team, long lifespan</t>
  </si>
  <si>
    <t xml:space="preserve">VIPER or Clean Architecture</t>
  </si>
  <si>
    <t xml:space="preserve">Domain / business-rule-heavy app</t>
  </si>
  <si>
    <t xml:space="preserve">Clean Architecture</t>
  </si>
  <si>
    <t xml:space="preserve">Cross-platform shared logic (Android Redux/KMP)</t>
  </si>
  <si>
    <t xml:space="preserve">Redux / ReSwift</t>
  </si>
  <si>
    <t xml:space="preserve">5+ devs OR 30+ screens</t>
  </si>
  <si>
    <t xml:space="preserve">Modular/TMA + (MVVM/TCA/Clean inside)</t>
  </si>
  <si>
    <t xml:space="preserve">monolithic anything</t>
  </si>
  <si>
    <t xml:space="preserve">Uber-scale (30+ iOS engineers, nested state)</t>
  </si>
  <si>
    <t xml:space="preserve">—</t>
  </si>
  <si>
    <t xml:space="preserve">LLM-agent-heavy workflow</t>
  </si>
  <si>
    <t xml:space="preserve">TCA or Modular/TMA</t>
  </si>
  <si>
    <t xml:space="preserve">MVC (Massive VC defeats agents)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</si>
</sst>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11"/>
      <color rgb="FFC0392B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AEFF5"/>
        <bgColor rgb="FFF2F6FA"/>
      </patternFill>
    </fill>
    <fill>
      <patternFill patternType="solid">
        <fgColor rgb="FFDDEBF7"/>
        <bgColor rgb="FFEAEFF5"/>
      </patternFill>
    </fill>
    <fill>
      <patternFill patternType="solid">
        <fgColor rgb="FFBDD7EE"/>
        <bgColor rgb="FF9DC3E6"/>
      </patternFill>
    </fill>
    <fill>
      <patternFill patternType="solid">
        <fgColor rgb="FF9DC3E6"/>
        <bgColor rgb="FFBDD7EE"/>
      </patternFill>
    </fill>
    <fill>
      <patternFill patternType="solid">
        <fgColor rgb="FF2E75B6"/>
        <bgColor rgb="FF0563C1"/>
      </patternFill>
    </fill>
    <fill>
      <patternFill patternType="solid">
        <fgColor rgb="FFF4564E"/>
        <bgColor rgb="FFC0392B"/>
      </patternFill>
    </fill>
    <fill>
      <patternFill patternType="solid">
        <fgColor rgb="FFFBD24B"/>
        <bgColor rgb="FFFFCC99"/>
      </patternFill>
    </fill>
    <fill>
      <patternFill patternType="solid">
        <fgColor rgb="FFA9D26B"/>
        <bgColor rgb="FF99CC00"/>
      </patternFill>
    </fill>
    <fill>
      <patternFill patternType="solid">
        <fgColor rgb="FF4FB36B"/>
        <bgColor rgb="FF33CCCC"/>
      </patternFill>
    </fill>
    <fill>
      <patternFill patternType="solid">
        <fgColor rgb="FFF8A055"/>
        <bgColor rgb="FFFF9900"/>
      </patternFill>
    </fill>
    <fill>
      <patternFill patternType="solid">
        <fgColor rgb="FFFFFFFF"/>
        <bgColor rgb="FFF2F6FA"/>
      </patternFill>
    </fill>
    <fill>
      <patternFill patternType="solid">
        <fgColor rgb="FFF2F6FA"/>
        <bgColor rgb="FFEAEF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A9D26B"/>
      <rgbColor rgb="FF808080"/>
      <rgbColor rgb="FF9999FF"/>
      <rgbColor rgb="FF993366"/>
      <rgbColor rgb="FFF2F6FA"/>
      <rgbColor rgb="FFDDEBF7"/>
      <rgbColor rgb="FF660066"/>
      <rgbColor rgb="FFF8A055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FF5"/>
      <rgbColor rgb="FFCCFFCC"/>
      <rgbColor rgb="FFFFFF99"/>
      <rgbColor rgb="FF9DC3E6"/>
      <rgbColor rgb="FFFF99CC"/>
      <rgbColor rgb="FFCC99FF"/>
      <rgbColor rgb="FFFFCC99"/>
      <rgbColor rgb="FF2E75B6"/>
      <rgbColor rgb="FF33CCCC"/>
      <rgbColor rgb="FF99CC00"/>
      <rgbColor rgb="FFFBD24B"/>
      <rgbColor rgb="FFFF9900"/>
      <rgbColor rgb="FFF4564E"/>
      <rgbColor rgb="FF666699"/>
      <rgbColor rgb="FF969696"/>
      <rgbColor rgb="FF1F3A5F"/>
      <rgbColor rgb="FF4FB36B"/>
      <rgbColor rgb="FF003300"/>
      <rgbColor rgb="FF333300"/>
      <rgbColor rgb="FFC0392B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13" min="2" style="0" width="12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42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</row>
    <row r="4" customFormat="false" ht="26.85" hidden="false" customHeight="false" outlineLevel="0" collapsed="false">
      <c r="A4" s="3" t="s">
        <v>14</v>
      </c>
      <c r="B4" s="4" t="s">
        <v>15</v>
      </c>
      <c r="C4" s="4" t="s">
        <v>16</v>
      </c>
      <c r="D4" s="5" t="s">
        <v>17</v>
      </c>
      <c r="E4" s="4" t="s">
        <v>18</v>
      </c>
      <c r="F4" s="5" t="s">
        <v>19</v>
      </c>
      <c r="G4" s="6" t="s">
        <v>20</v>
      </c>
      <c r="H4" s="5" t="s">
        <v>21</v>
      </c>
      <c r="I4" s="6" t="s">
        <v>22</v>
      </c>
      <c r="J4" s="5" t="s">
        <v>23</v>
      </c>
      <c r="K4" s="5" t="s">
        <v>24</v>
      </c>
      <c r="L4" s="7" t="s">
        <v>25</v>
      </c>
      <c r="M4" s="6" t="s">
        <v>26</v>
      </c>
    </row>
    <row r="5" customFormat="false" ht="15" hidden="false" customHeight="false" outlineLevel="0" collapsed="false">
      <c r="A5" s="3" t="s">
        <v>27</v>
      </c>
      <c r="B5" s="8" t="n">
        <v>1</v>
      </c>
      <c r="C5" s="9" t="n">
        <v>3</v>
      </c>
      <c r="D5" s="10" t="n">
        <v>4</v>
      </c>
      <c r="E5" s="10" t="n">
        <v>4</v>
      </c>
      <c r="F5" s="10" t="n">
        <v>4</v>
      </c>
      <c r="G5" s="11" t="n">
        <v>5</v>
      </c>
      <c r="H5" s="11" t="n">
        <v>5</v>
      </c>
      <c r="I5" s="11" t="n">
        <v>5</v>
      </c>
      <c r="J5" s="11" t="n">
        <v>5</v>
      </c>
      <c r="K5" s="10" t="n">
        <v>4</v>
      </c>
      <c r="L5" s="11" t="n">
        <v>5</v>
      </c>
      <c r="M5" s="10" t="n">
        <v>4</v>
      </c>
    </row>
    <row r="6" customFormat="false" ht="15" hidden="false" customHeight="false" outlineLevel="0" collapsed="false">
      <c r="A6" s="3" t="s">
        <v>28</v>
      </c>
      <c r="B6" s="12" t="n">
        <v>2</v>
      </c>
      <c r="C6" s="9" t="n">
        <v>3</v>
      </c>
      <c r="D6" s="9" t="n">
        <v>3</v>
      </c>
      <c r="E6" s="9" t="n">
        <v>3</v>
      </c>
      <c r="F6" s="9" t="n">
        <v>3</v>
      </c>
      <c r="G6" s="10" t="n">
        <v>4</v>
      </c>
      <c r="H6" s="10" t="n">
        <v>4</v>
      </c>
      <c r="I6" s="10" t="n">
        <v>4</v>
      </c>
      <c r="J6" s="11" t="n">
        <v>5</v>
      </c>
      <c r="K6" s="10" t="n">
        <v>4</v>
      </c>
      <c r="L6" s="10" t="n">
        <v>4</v>
      </c>
      <c r="M6" s="10" t="n">
        <v>4</v>
      </c>
    </row>
    <row r="7" customFormat="false" ht="15" hidden="false" customHeight="false" outlineLevel="0" collapsed="false">
      <c r="A7" s="3" t="s">
        <v>29</v>
      </c>
      <c r="B7" s="11" t="n">
        <v>5</v>
      </c>
      <c r="C7" s="10" t="n">
        <v>4</v>
      </c>
      <c r="D7" s="10" t="n">
        <v>4</v>
      </c>
      <c r="E7" s="11" t="n">
        <v>5</v>
      </c>
      <c r="F7" s="9" t="n">
        <v>3</v>
      </c>
      <c r="G7" s="12" t="n">
        <v>2</v>
      </c>
      <c r="H7" s="9" t="n">
        <v>3</v>
      </c>
      <c r="I7" s="9" t="n">
        <v>3</v>
      </c>
      <c r="J7" s="12" t="n">
        <v>2</v>
      </c>
      <c r="K7" s="9" t="n">
        <v>3</v>
      </c>
      <c r="L7" s="8" t="n">
        <v>1</v>
      </c>
      <c r="M7" s="9" t="n">
        <v>3</v>
      </c>
    </row>
    <row r="8" customFormat="false" ht="15" hidden="false" customHeight="false" outlineLevel="0" collapsed="false">
      <c r="A8" s="3" t="s">
        <v>30</v>
      </c>
      <c r="B8" s="8" t="n">
        <v>1</v>
      </c>
      <c r="C8" s="12" t="n">
        <v>2</v>
      </c>
      <c r="D8" s="9" t="n">
        <v>3</v>
      </c>
      <c r="E8" s="9" t="n">
        <v>3</v>
      </c>
      <c r="F8" s="10" t="n">
        <v>4</v>
      </c>
      <c r="G8" s="10" t="n">
        <v>4</v>
      </c>
      <c r="H8" s="10" t="n">
        <v>4</v>
      </c>
      <c r="I8" s="11" t="n">
        <v>5</v>
      </c>
      <c r="J8" s="10" t="n">
        <v>4</v>
      </c>
      <c r="K8" s="9" t="n">
        <v>3</v>
      </c>
      <c r="L8" s="11" t="n">
        <v>5</v>
      </c>
      <c r="M8" s="11" t="n">
        <v>5</v>
      </c>
    </row>
    <row r="9" customFormat="false" ht="15" hidden="false" customHeight="false" outlineLevel="0" collapsed="false">
      <c r="A9" s="3" t="s">
        <v>31</v>
      </c>
      <c r="B9" s="11" t="n">
        <v>5</v>
      </c>
      <c r="C9" s="10" t="n">
        <v>4</v>
      </c>
      <c r="D9" s="10" t="n">
        <v>4</v>
      </c>
      <c r="E9" s="11" t="n">
        <v>5</v>
      </c>
      <c r="F9" s="9" t="n">
        <v>3</v>
      </c>
      <c r="G9" s="8" t="n">
        <v>1</v>
      </c>
      <c r="H9" s="12" t="n">
        <v>2</v>
      </c>
      <c r="I9" s="9" t="n">
        <v>3</v>
      </c>
      <c r="J9" s="12" t="n">
        <v>2</v>
      </c>
      <c r="K9" s="9" t="n">
        <v>3</v>
      </c>
      <c r="L9" s="8" t="n">
        <v>1</v>
      </c>
      <c r="M9" s="9" t="n">
        <v>3</v>
      </c>
    </row>
    <row r="10" customFormat="false" ht="15" hidden="false" customHeight="false" outlineLevel="0" collapsed="false">
      <c r="A10" s="3" t="s">
        <v>32</v>
      </c>
      <c r="B10" s="11" t="n">
        <v>5</v>
      </c>
      <c r="C10" s="10" t="n">
        <v>4</v>
      </c>
      <c r="D10" s="10" t="n">
        <v>4</v>
      </c>
      <c r="E10" s="10" t="n">
        <v>4</v>
      </c>
      <c r="F10" s="9" t="n">
        <v>3</v>
      </c>
      <c r="G10" s="12" t="n">
        <v>2</v>
      </c>
      <c r="H10" s="9" t="n">
        <v>3</v>
      </c>
      <c r="I10" s="9" t="n">
        <v>3</v>
      </c>
      <c r="J10" s="8" t="n">
        <v>1</v>
      </c>
      <c r="K10" s="9" t="n">
        <v>3</v>
      </c>
      <c r="L10" s="8" t="n">
        <v>1</v>
      </c>
      <c r="M10" s="9" t="n">
        <v>3</v>
      </c>
    </row>
    <row r="11" customFormat="false" ht="15" hidden="false" customHeight="false" outlineLevel="0" collapsed="false">
      <c r="A11" s="3" t="s">
        <v>33</v>
      </c>
      <c r="B11" s="12" t="n">
        <v>2</v>
      </c>
      <c r="C11" s="9" t="n">
        <v>3</v>
      </c>
      <c r="D11" s="9" t="n">
        <v>3</v>
      </c>
      <c r="E11" s="10" t="n">
        <v>4</v>
      </c>
      <c r="F11" s="9" t="n">
        <v>3</v>
      </c>
      <c r="G11" s="10" t="n">
        <v>3</v>
      </c>
      <c r="H11" s="10" t="n">
        <v>4</v>
      </c>
      <c r="I11" s="10" t="n">
        <v>4</v>
      </c>
      <c r="J11" s="11" t="n">
        <v>5</v>
      </c>
      <c r="K11" s="10" t="n">
        <v>4</v>
      </c>
      <c r="L11" s="9" t="n">
        <v>3</v>
      </c>
      <c r="M11" s="11" t="n">
        <v>5</v>
      </c>
    </row>
    <row r="12" customFormat="false" ht="15" hidden="false" customHeight="false" outlineLevel="0" collapsed="false">
      <c r="A12" s="3" t="s">
        <v>34</v>
      </c>
      <c r="B12" s="8" t="n">
        <v>1</v>
      </c>
      <c r="C12" s="12" t="n">
        <v>2</v>
      </c>
      <c r="D12" s="12" t="n">
        <v>2</v>
      </c>
      <c r="E12" s="11" t="n">
        <v>5</v>
      </c>
      <c r="F12" s="10" t="n">
        <v>4</v>
      </c>
      <c r="G12" s="12" t="n">
        <v>2</v>
      </c>
      <c r="H12" s="12" t="n">
        <v>2</v>
      </c>
      <c r="I12" s="10" t="n">
        <v>4</v>
      </c>
      <c r="J12" s="11" t="n">
        <v>5</v>
      </c>
      <c r="K12" s="10" t="n">
        <v>4</v>
      </c>
      <c r="L12" s="8" t="n">
        <v>1</v>
      </c>
      <c r="M12" s="11" t="n">
        <v>5</v>
      </c>
    </row>
    <row r="13" customFormat="false" ht="15" hidden="false" customHeight="false" outlineLevel="0" collapsed="false">
      <c r="A13" s="3" t="s">
        <v>35</v>
      </c>
      <c r="B13" s="11" t="n">
        <v>5</v>
      </c>
      <c r="C13" s="11" t="n">
        <v>5</v>
      </c>
      <c r="D13" s="11" t="n">
        <v>5</v>
      </c>
      <c r="E13" s="8" t="n">
        <v>1</v>
      </c>
      <c r="F13" s="11" t="n">
        <v>5</v>
      </c>
      <c r="G13" s="11" t="n">
        <v>5</v>
      </c>
      <c r="H13" s="11" t="n">
        <v>5</v>
      </c>
      <c r="I13" s="10" t="n">
        <v>4</v>
      </c>
      <c r="J13" s="12" t="n">
        <v>2</v>
      </c>
      <c r="K13" s="10" t="n">
        <v>4</v>
      </c>
      <c r="L13" s="11" t="n">
        <v>5</v>
      </c>
      <c r="M13" s="11" t="n">
        <v>5</v>
      </c>
    </row>
    <row r="14" customFormat="false" ht="15" hidden="false" customHeight="false" outlineLevel="0" collapsed="false">
      <c r="A14" s="3" t="s">
        <v>36</v>
      </c>
      <c r="B14" s="12" t="n">
        <v>2</v>
      </c>
      <c r="C14" s="12" t="n">
        <v>2</v>
      </c>
      <c r="D14" s="12" t="n">
        <v>2</v>
      </c>
      <c r="E14" s="9" t="n">
        <v>3</v>
      </c>
      <c r="F14" s="11" t="n">
        <v>5</v>
      </c>
      <c r="G14" s="10" t="n">
        <v>4</v>
      </c>
      <c r="H14" s="9" t="n">
        <v>3</v>
      </c>
      <c r="I14" s="10" t="n">
        <v>4</v>
      </c>
      <c r="J14" s="10" t="n">
        <v>4</v>
      </c>
      <c r="K14" s="9" t="n">
        <v>3</v>
      </c>
      <c r="L14" s="11" t="n">
        <v>5</v>
      </c>
      <c r="M14" s="10" t="n">
        <v>4</v>
      </c>
    </row>
    <row r="15" customFormat="false" ht="15" hidden="false" customHeight="false" outlineLevel="0" collapsed="false">
      <c r="A15" s="3" t="s">
        <v>37</v>
      </c>
      <c r="B15" s="8" t="n">
        <v>1</v>
      </c>
      <c r="C15" s="12" t="n">
        <v>2</v>
      </c>
      <c r="D15" s="9" t="n">
        <v>3</v>
      </c>
      <c r="E15" s="9" t="n">
        <v>3</v>
      </c>
      <c r="F15" s="10" t="n">
        <v>4</v>
      </c>
      <c r="G15" s="10" t="n">
        <v>4</v>
      </c>
      <c r="H15" s="10" t="n">
        <v>4</v>
      </c>
      <c r="I15" s="10" t="n">
        <v>4</v>
      </c>
      <c r="J15" s="10" t="n">
        <v>4</v>
      </c>
      <c r="K15" s="9" t="n">
        <v>3</v>
      </c>
      <c r="L15" s="11" t="n">
        <v>5</v>
      </c>
      <c r="M15" s="11" t="n">
        <v>5</v>
      </c>
    </row>
    <row r="16" customFormat="false" ht="15" hidden="false" customHeight="false" outlineLevel="0" collapsed="false">
      <c r="A16" s="3" t="s">
        <v>38</v>
      </c>
      <c r="B16" s="11" t="n">
        <v>5</v>
      </c>
      <c r="C16" s="11" t="n">
        <v>5</v>
      </c>
      <c r="D16" s="11" t="n">
        <v>5</v>
      </c>
      <c r="E16" s="11" t="n">
        <v>5</v>
      </c>
      <c r="F16" s="10" t="n">
        <v>4</v>
      </c>
      <c r="G16" s="10" t="n">
        <v>4</v>
      </c>
      <c r="H16" s="9" t="n">
        <v>3</v>
      </c>
      <c r="I16" s="11" t="n">
        <v>5</v>
      </c>
      <c r="J16" s="9" t="n">
        <v>3</v>
      </c>
      <c r="K16" s="12" t="n">
        <v>2</v>
      </c>
      <c r="L16" s="12" t="n">
        <v>2</v>
      </c>
      <c r="M16" s="10" t="n">
        <v>4</v>
      </c>
    </row>
    <row r="19" customFormat="false" ht="15" hidden="false" customHeight="false" outlineLevel="0" collapsed="false">
      <c r="A19" s="14" t="s">
        <v>40</v>
      </c>
      <c r="B19" s="11" t="s">
        <v>41</v>
      </c>
      <c r="C19" s="10" t="s">
        <v>42</v>
      </c>
      <c r="D19" s="9" t="s">
        <v>43</v>
      </c>
      <c r="E19" s="12" t="s">
        <v>44</v>
      </c>
      <c r="F19" s="8" t="s">
        <v>45</v>
      </c>
    </row>
    <row r="21" customFormat="false" ht="15" hidden="false" customHeight="false" outlineLevel="0" collapsed="false">
      <c r="A21" s="15" t="s">
        <v>46</v>
      </c>
    </row>
    <row r="22" customFormat="false" ht="15" hidden="false" customHeight="true" outlineLevel="0" collapsed="false">
      <c r="A22" s="16" t="s">
        <v>27</v>
      </c>
      <c r="B22" s="17" t="s">
        <v>47</v>
      </c>
      <c r="C22" s="17"/>
      <c r="D22" s="17"/>
      <c r="E22" s="17"/>
      <c r="F22" s="17"/>
      <c r="G22" s="17"/>
      <c r="H22" s="17"/>
    </row>
    <row r="23" customFormat="false" ht="15" hidden="false" customHeight="true" outlineLevel="0" collapsed="false">
      <c r="A23" s="16" t="s">
        <v>28</v>
      </c>
      <c r="B23" s="17" t="s">
        <v>48</v>
      </c>
      <c r="C23" s="17"/>
      <c r="D23" s="17"/>
      <c r="E23" s="17"/>
      <c r="F23" s="17"/>
      <c r="G23" s="17"/>
      <c r="H23" s="17"/>
    </row>
    <row r="24" customFormat="false" ht="15" hidden="false" customHeight="true" outlineLevel="0" collapsed="false">
      <c r="A24" s="16" t="s">
        <v>29</v>
      </c>
      <c r="B24" s="17" t="s">
        <v>49</v>
      </c>
      <c r="C24" s="17"/>
      <c r="D24" s="17"/>
      <c r="E24" s="17"/>
      <c r="F24" s="17"/>
      <c r="G24" s="17"/>
      <c r="H24" s="17"/>
    </row>
    <row r="25" customFormat="false" ht="15" hidden="false" customHeight="true" outlineLevel="0" collapsed="false">
      <c r="A25" s="16" t="s">
        <v>30</v>
      </c>
      <c r="B25" s="17" t="s">
        <v>50</v>
      </c>
      <c r="C25" s="17"/>
      <c r="D25" s="17"/>
      <c r="E25" s="17"/>
      <c r="F25" s="17"/>
      <c r="G25" s="17"/>
      <c r="H25" s="17"/>
    </row>
    <row r="26" customFormat="false" ht="15" hidden="false" customHeight="true" outlineLevel="0" collapsed="false">
      <c r="A26" s="16" t="s">
        <v>31</v>
      </c>
      <c r="B26" s="17" t="s">
        <v>51</v>
      </c>
      <c r="C26" s="17"/>
      <c r="D26" s="17"/>
      <c r="E26" s="17"/>
      <c r="F26" s="17"/>
      <c r="G26" s="17"/>
      <c r="H26" s="17"/>
    </row>
    <row r="27" customFormat="false" ht="15" hidden="false" customHeight="true" outlineLevel="0" collapsed="false">
      <c r="A27" s="16" t="s">
        <v>32</v>
      </c>
      <c r="B27" s="17" t="s">
        <v>52</v>
      </c>
      <c r="C27" s="17"/>
      <c r="D27" s="17"/>
      <c r="E27" s="17"/>
      <c r="F27" s="17"/>
      <c r="G27" s="17"/>
      <c r="H27" s="17"/>
    </row>
    <row r="28" customFormat="false" ht="15" hidden="false" customHeight="true" outlineLevel="0" collapsed="false">
      <c r="A28" s="16" t="s">
        <v>33</v>
      </c>
      <c r="B28" s="17" t="s">
        <v>53</v>
      </c>
      <c r="C28" s="17"/>
      <c r="D28" s="17"/>
      <c r="E28" s="17"/>
      <c r="F28" s="17"/>
      <c r="G28" s="17"/>
      <c r="H28" s="17"/>
    </row>
    <row r="29" customFormat="false" ht="15" hidden="false" customHeight="true" outlineLevel="0" collapsed="false">
      <c r="A29" s="16" t="s">
        <v>34</v>
      </c>
      <c r="B29" s="17" t="s">
        <v>54</v>
      </c>
      <c r="C29" s="17"/>
      <c r="D29" s="17"/>
      <c r="E29" s="17"/>
      <c r="F29" s="17"/>
      <c r="G29" s="17"/>
      <c r="H29" s="17"/>
    </row>
    <row r="30" customFormat="false" ht="15" hidden="false" customHeight="true" outlineLevel="0" collapsed="false">
      <c r="A30" s="16" t="s">
        <v>35</v>
      </c>
      <c r="B30" s="17" t="s">
        <v>55</v>
      </c>
      <c r="C30" s="17"/>
      <c r="D30" s="17"/>
      <c r="E30" s="17"/>
      <c r="F30" s="17"/>
      <c r="G30" s="17"/>
      <c r="H30" s="17"/>
    </row>
    <row r="31" customFormat="false" ht="15" hidden="false" customHeight="true" outlineLevel="0" collapsed="false">
      <c r="A31" s="16" t="s">
        <v>36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15" hidden="false" customHeight="true" outlineLevel="0" collapsed="false">
      <c r="A32" s="16" t="s">
        <v>37</v>
      </c>
      <c r="B32" s="17" t="s">
        <v>57</v>
      </c>
      <c r="C32" s="17"/>
      <c r="D32" s="17"/>
      <c r="E32" s="17"/>
      <c r="F32" s="17"/>
      <c r="G32" s="17"/>
      <c r="H32" s="17"/>
    </row>
    <row r="33" customFormat="false" ht="15" hidden="false" customHeight="true" outlineLevel="0" collapsed="false">
      <c r="A33" s="16" t="s">
        <v>38</v>
      </c>
      <c r="B33" s="17" t="s">
        <v>58</v>
      </c>
      <c r="C33" s="17"/>
      <c r="D33" s="17"/>
      <c r="E33" s="17"/>
      <c r="F33" s="17"/>
      <c r="G33" s="17"/>
      <c r="H33" s="17"/>
    </row>
    <row r="35" customFormat="false" ht="15" hidden="false" customHeight="false" outlineLevel="0" collapsed="false">
      <c r="A35" s="15" t="s">
        <v>59</v>
      </c>
    </row>
    <row r="36" customFormat="false" ht="15" hidden="false" customHeight="false" outlineLevel="0" collapsed="false">
      <c r="A36" s="16" t="s">
        <v>2</v>
      </c>
      <c r="B36" s="18" t="str">
        <f aca="false">HYPERLINK("https://developer.apple.com/library/archive/documentation/General/Conceptual/CocoaEncyclopedia/Model-View-Controller/Model-View-Controller.html","Apple — Model-View-Controller")</f>
        <v>Apple — Model-View-Controller</v>
      </c>
      <c r="C36" s="18"/>
      <c r="D36" s="18"/>
      <c r="E36" s="18"/>
      <c r="F36" s="18"/>
      <c r="G36" s="18"/>
      <c r="H36" s="18"/>
    </row>
    <row r="37" customFormat="false" ht="15" hidden="false" customHeight="false" outlineLevel="0" collapsed="false">
      <c r="A37" s="16" t="s">
        <v>3</v>
      </c>
      <c r="B37" s="18" t="str">
        <f aca="false">HYPERLINK("https://martinfowler.com/eaaDev/PassiveScreen.html","Martin Fowler — Passive View")</f>
        <v>Martin Fowler — Passive View</v>
      </c>
      <c r="C37" s="18"/>
      <c r="D37" s="18"/>
      <c r="E37" s="18"/>
      <c r="F37" s="18"/>
      <c r="G37" s="18"/>
      <c r="H37" s="18"/>
    </row>
    <row r="38" customFormat="false" ht="15" hidden="false" customHeight="false" outlineLevel="0" collapsed="false">
      <c r="A38" s="16" t="s">
        <v>4</v>
      </c>
      <c r="B38" s="18" t="str">
        <f aca="false">HYPERLINK("https://www.avanderlee.com/swiftui/mvvm-architectural-coding-pattern-to-structure-views/","Antoine van der Lee — MVVM in UIKit (+ Apple Combine)")</f>
        <v>Antoine van der Lee — MVVM in UIKit (+ Apple Combine)</v>
      </c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6" t="s">
        <v>5</v>
      </c>
      <c r="B39" s="18" t="str">
        <f aca="false">HYPERLINK("https://sarunw.com/posts/observation-framework-in-ios17/","Sarunw — Observation Framework iOS 17 (+ Apple Scrumdinger)")</f>
        <v>Sarunw — Observation Framework iOS 17 (+ Apple Scrumdinger)</v>
      </c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6" t="s">
        <v>6</v>
      </c>
      <c r="B40" s="18" t="str">
        <f aca="false">HYPERLINK("https://khanlou.com/2015/10/coordinators-redux/","Soroush Khanlou — Coordinators Redux")</f>
        <v>Soroush Khanlou — Coordinators Redux</v>
      </c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6" t="s">
        <v>7</v>
      </c>
      <c r="B41" s="18" t="str">
        <f aca="false">HYPERLINK("https://www.objc.io/issues/13-architecture/viper/","objc.io — Architecting iOS Apps with VIPER")</f>
        <v>objc.io — Architecting iOS Apps with VIPER</v>
      </c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6" t="s">
        <v>8</v>
      </c>
      <c r="B42" s="18" t="str">
        <f aca="false">HYPERLINK("https://clean-swift.com/","Raymond Law — Clean Swift")</f>
        <v>Raymond Law — Clean Swift</v>
      </c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6" t="s">
        <v>9</v>
      </c>
      <c r="B43" s="18" t="str">
        <f aca="false">HYPERLINK("https://nalexn.github.io/clean-architecture-swiftui/","Alexey Naumov — Clean Architecture for SwiftUI (+ Uncle Bob)")</f>
        <v>Alexey Naumov — Clean Architecture for SwiftUI (+ Uncle Bob)</v>
      </c>
      <c r="C43" s="18"/>
      <c r="D43" s="18"/>
      <c r="E43" s="18"/>
      <c r="F43" s="18"/>
      <c r="G43" s="18"/>
      <c r="H43" s="18"/>
    </row>
    <row r="44" customFormat="false" ht="15" hidden="false" customHeight="false" outlineLevel="0" collapsed="false">
      <c r="A44" s="16" t="s">
        <v>10</v>
      </c>
      <c r="B44" s="18" t="str">
        <f aca="false">HYPERLINK("https://github.com/pointfreeco/swift-composable-architecture","Point-Free — swift-composable-architecture (repo + tutorials)")</f>
        <v>Point-Free — swift-composable-architecture (repo + tutorials)</v>
      </c>
      <c r="C44" s="18"/>
      <c r="D44" s="18"/>
      <c r="E44" s="18"/>
      <c r="F44" s="18"/>
      <c r="G44" s="18"/>
      <c r="H44" s="18"/>
    </row>
    <row r="45" customFormat="false" ht="15" hidden="false" customHeight="false" outlineLevel="0" collapsed="false">
      <c r="A45" s="16" t="s">
        <v>60</v>
      </c>
      <c r="B45" s="18" t="str">
        <f aca="false">HYPERLINK("https://github.com/ReSwift/ReSwift","ReSwift — GitHub (+ Redux Three Principles)")</f>
        <v>ReSwift — GitHub (+ Redux Three Principles)</v>
      </c>
      <c r="C45" s="18"/>
      <c r="D45" s="18"/>
      <c r="E45" s="18"/>
      <c r="F45" s="18"/>
      <c r="G45" s="18"/>
      <c r="H45" s="18"/>
    </row>
    <row r="46" customFormat="false" ht="15" hidden="false" customHeight="false" outlineLevel="0" collapsed="false">
      <c r="A46" s="16" t="s">
        <v>12</v>
      </c>
      <c r="B46" s="18" t="str">
        <f aca="false">HYPERLINK("https://github.com/uber/RIBs","Uber — RIBs (repo + iOS tutorials)")</f>
        <v>Uber — RIBs (repo + iOS tutorials)</v>
      </c>
      <c r="C46" s="18"/>
      <c r="D46" s="18"/>
      <c r="E46" s="18"/>
      <c r="F46" s="18"/>
      <c r="G46" s="18"/>
      <c r="H46" s="18"/>
    </row>
    <row r="47" customFormat="false" ht="15" hidden="false" customHeight="false" outlineLevel="0" collapsed="false">
      <c r="A47" s="16" t="s">
        <v>13</v>
      </c>
      <c r="B47" s="18" t="str">
        <f aca="false">HYPERLINK("https://docs.tuist.dev/en/guides/develop/projects/tma-architecture","Tuist — The Modular Architecture")</f>
        <v>Tuist — The Modular Architecture</v>
      </c>
      <c r="C47" s="18"/>
      <c r="D47" s="18"/>
      <c r="E47" s="18"/>
      <c r="F47" s="18"/>
      <c r="G47" s="18"/>
      <c r="H47" s="18"/>
    </row>
  </sheetData>
  <mergeCells count="25">
    <mergeCell ref="A1:M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6:H36"/>
    <mergeCell ref="B37:H37"/>
    <mergeCell ref="B38:H38"/>
    <mergeCell ref="B39:H39"/>
    <mergeCell ref="B40:H40"/>
    <mergeCell ref="B41:H41"/>
    <mergeCell ref="B42:H42"/>
    <mergeCell ref="B43:H43"/>
    <mergeCell ref="B44:H44"/>
    <mergeCell ref="B45:H45"/>
    <mergeCell ref="B46:H46"/>
    <mergeCell ref="B47:H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38"/>
  </cols>
  <sheetData>
    <row r="1" customFormat="false" ht="15" hidden="false" customHeight="false" outlineLevel="0" collapsed="false">
      <c r="A1" s="2" t="s">
        <v>61</v>
      </c>
      <c r="B1" s="2" t="s">
        <v>62</v>
      </c>
      <c r="C1" s="2" t="s">
        <v>63</v>
      </c>
      <c r="D1" s="2" t="s">
        <v>64</v>
      </c>
    </row>
    <row r="2" customFormat="false" ht="15" hidden="false" customHeight="false" outlineLevel="0" collapsed="false">
      <c r="A2" s="19" t="s">
        <v>2</v>
      </c>
      <c r="B2" s="20" t="s">
        <v>65</v>
      </c>
      <c r="C2" s="20" t="s">
        <v>66</v>
      </c>
      <c r="D2" s="20" t="s">
        <v>67</v>
      </c>
    </row>
    <row r="3" customFormat="false" ht="15" hidden="false" customHeight="false" outlineLevel="0" collapsed="false">
      <c r="A3" s="21" t="s">
        <v>3</v>
      </c>
      <c r="B3" s="22" t="s">
        <v>68</v>
      </c>
      <c r="C3" s="22" t="s">
        <v>66</v>
      </c>
      <c r="D3" s="22" t="s">
        <v>69</v>
      </c>
    </row>
    <row r="4" customFormat="false" ht="15" hidden="false" customHeight="false" outlineLevel="0" collapsed="false">
      <c r="A4" s="19" t="s">
        <v>4</v>
      </c>
      <c r="B4" s="20" t="s">
        <v>70</v>
      </c>
      <c r="C4" s="20" t="s">
        <v>66</v>
      </c>
      <c r="D4" s="20" t="s">
        <v>71</v>
      </c>
    </row>
    <row r="5" customFormat="false" ht="15" hidden="false" customHeight="false" outlineLevel="0" collapsed="false">
      <c r="A5" s="21" t="s">
        <v>5</v>
      </c>
      <c r="B5" s="22" t="s">
        <v>72</v>
      </c>
      <c r="C5" s="22" t="s">
        <v>73</v>
      </c>
      <c r="D5" s="22" t="s">
        <v>74</v>
      </c>
    </row>
    <row r="6" customFormat="false" ht="15" hidden="false" customHeight="false" outlineLevel="0" collapsed="false">
      <c r="A6" s="19" t="s">
        <v>6</v>
      </c>
      <c r="B6" s="20" t="s">
        <v>75</v>
      </c>
      <c r="C6" s="20" t="s">
        <v>76</v>
      </c>
      <c r="D6" s="20" t="s">
        <v>77</v>
      </c>
    </row>
    <row r="7" customFormat="false" ht="15" hidden="false" customHeight="false" outlineLevel="0" collapsed="false">
      <c r="A7" s="21" t="s">
        <v>7</v>
      </c>
      <c r="B7" s="22" t="s">
        <v>78</v>
      </c>
      <c r="C7" s="22" t="s">
        <v>66</v>
      </c>
      <c r="D7" s="22" t="s">
        <v>79</v>
      </c>
    </row>
    <row r="8" customFormat="false" ht="15" hidden="false" customHeight="false" outlineLevel="0" collapsed="false">
      <c r="A8" s="19" t="s">
        <v>8</v>
      </c>
      <c r="B8" s="20" t="s">
        <v>80</v>
      </c>
      <c r="C8" s="20" t="s">
        <v>66</v>
      </c>
      <c r="D8" s="20" t="s">
        <v>81</v>
      </c>
    </row>
    <row r="9" customFormat="false" ht="26.85" hidden="false" customHeight="false" outlineLevel="0" collapsed="false">
      <c r="A9" s="21" t="s">
        <v>9</v>
      </c>
      <c r="B9" s="22" t="s">
        <v>82</v>
      </c>
      <c r="C9" s="22" t="s">
        <v>76</v>
      </c>
      <c r="D9" s="22" t="s">
        <v>83</v>
      </c>
    </row>
    <row r="10" customFormat="false" ht="15" hidden="false" customHeight="false" outlineLevel="0" collapsed="false">
      <c r="A10" s="19" t="s">
        <v>10</v>
      </c>
      <c r="B10" s="20" t="s">
        <v>84</v>
      </c>
      <c r="C10" s="20" t="s">
        <v>73</v>
      </c>
      <c r="D10" s="20" t="s">
        <v>85</v>
      </c>
    </row>
    <row r="11" customFormat="false" ht="15" hidden="false" customHeight="false" outlineLevel="0" collapsed="false">
      <c r="A11" s="21" t="s">
        <v>60</v>
      </c>
      <c r="B11" s="22" t="s">
        <v>86</v>
      </c>
      <c r="C11" s="22" t="s">
        <v>76</v>
      </c>
      <c r="D11" s="22" t="s">
        <v>87</v>
      </c>
    </row>
    <row r="12" customFormat="false" ht="15" hidden="false" customHeight="false" outlineLevel="0" collapsed="false">
      <c r="A12" s="19" t="s">
        <v>12</v>
      </c>
      <c r="B12" s="20" t="s">
        <v>88</v>
      </c>
      <c r="C12" s="20" t="s">
        <v>66</v>
      </c>
      <c r="D12" s="20" t="s">
        <v>89</v>
      </c>
    </row>
    <row r="13" customFormat="false" ht="15" hidden="false" customHeight="false" outlineLevel="0" collapsed="false">
      <c r="A13" s="21" t="s">
        <v>13</v>
      </c>
      <c r="B13" s="22" t="s">
        <v>90</v>
      </c>
      <c r="C13" s="22" t="s">
        <v>76</v>
      </c>
      <c r="D13" s="2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  <col collapsed="false" customWidth="true" hidden="false" outlineLevel="0" max="3" min="3" style="0" width="34"/>
  </cols>
  <sheetData>
    <row r="1" customFormat="false" ht="15" hidden="false" customHeight="false" outlineLevel="0" collapsed="false">
      <c r="A1" s="2" t="s">
        <v>92</v>
      </c>
      <c r="B1" s="2" t="s">
        <v>93</v>
      </c>
      <c r="C1" s="2" t="s">
        <v>94</v>
      </c>
    </row>
    <row r="2" customFormat="false" ht="15" hidden="false" customHeight="false" outlineLevel="0" collapsed="false">
      <c r="A2" s="20" t="s">
        <v>95</v>
      </c>
      <c r="B2" s="23" t="s">
        <v>96</v>
      </c>
      <c r="C2" s="24" t="s">
        <v>97</v>
      </c>
    </row>
    <row r="3" customFormat="false" ht="15" hidden="false" customHeight="false" outlineLevel="0" collapsed="false">
      <c r="A3" s="22" t="s">
        <v>98</v>
      </c>
      <c r="B3" s="25" t="s">
        <v>99</v>
      </c>
      <c r="C3" s="26" t="s">
        <v>100</v>
      </c>
    </row>
    <row r="4" customFormat="false" ht="26.85" hidden="false" customHeight="false" outlineLevel="0" collapsed="false">
      <c r="A4" s="20" t="s">
        <v>101</v>
      </c>
      <c r="B4" s="23" t="s">
        <v>102</v>
      </c>
      <c r="C4" s="24" t="s">
        <v>12</v>
      </c>
    </row>
    <row r="5" customFormat="false" ht="15" hidden="false" customHeight="false" outlineLevel="0" collapsed="false">
      <c r="A5" s="22" t="s">
        <v>103</v>
      </c>
      <c r="B5" s="25" t="s">
        <v>104</v>
      </c>
      <c r="C5" s="26" t="s">
        <v>105</v>
      </c>
    </row>
    <row r="6" customFormat="false" ht="15" hidden="false" customHeight="false" outlineLevel="0" collapsed="false">
      <c r="A6" s="20" t="s">
        <v>106</v>
      </c>
      <c r="B6" s="23" t="s">
        <v>6</v>
      </c>
      <c r="C6" s="24" t="s">
        <v>107</v>
      </c>
    </row>
    <row r="7" customFormat="false" ht="15" hidden="false" customHeight="false" outlineLevel="0" collapsed="false">
      <c r="A7" s="22" t="s">
        <v>108</v>
      </c>
      <c r="B7" s="25" t="s">
        <v>109</v>
      </c>
      <c r="C7" s="26" t="s">
        <v>2</v>
      </c>
    </row>
    <row r="8" customFormat="false" ht="15" hidden="false" customHeight="false" outlineLevel="0" collapsed="false">
      <c r="A8" s="20" t="s">
        <v>110</v>
      </c>
      <c r="B8" s="23" t="s">
        <v>111</v>
      </c>
      <c r="C8" s="24" t="s">
        <v>107</v>
      </c>
    </row>
    <row r="9" customFormat="false" ht="26.85" hidden="false" customHeight="false" outlineLevel="0" collapsed="false">
      <c r="A9" s="22" t="s">
        <v>112</v>
      </c>
      <c r="B9" s="25" t="s">
        <v>113</v>
      </c>
      <c r="C9" s="26" t="s">
        <v>7</v>
      </c>
    </row>
    <row r="10" customFormat="false" ht="15" hidden="false" customHeight="false" outlineLevel="0" collapsed="false">
      <c r="A10" s="20" t="s">
        <v>114</v>
      </c>
      <c r="B10" s="23" t="s">
        <v>115</v>
      </c>
      <c r="C10" s="24" t="s">
        <v>116</v>
      </c>
    </row>
    <row r="11" customFormat="false" ht="26.85" hidden="false" customHeight="false" outlineLevel="0" collapsed="false">
      <c r="A11" s="22" t="s">
        <v>117</v>
      </c>
      <c r="B11" s="25" t="s">
        <v>12</v>
      </c>
      <c r="C11" s="26" t="s">
        <v>118</v>
      </c>
    </row>
    <row r="12" customFormat="false" ht="15" hidden="false" customHeight="false" outlineLevel="0" collapsed="false">
      <c r="A12" s="20" t="s">
        <v>119</v>
      </c>
      <c r="B12" s="23" t="s">
        <v>120</v>
      </c>
      <c r="C12" s="24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2026-05-29T11:25:40Z</dcterms:created>
  <dc:creator>openpyxl</dc:creator>
  <dc:description/>
  <dc:language>en-US</dc:language>
  <cp:lastModifiedBy/>
  <dcterms:modified xsi:type="dcterms:W3CDTF">2026-05-29T11:25:40Z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